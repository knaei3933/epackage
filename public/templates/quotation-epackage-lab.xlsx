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nei\claudecode\02.Homepage_Dev\02.epac_homepagever1.1\templet\"/>
    </mc:Choice>
  </mc:AlternateContent>
  <xr:revisionPtr revIDLastSave="0" documentId="13_ncr:1_{1FE1A4C7-CCAE-4708-8FAA-33B0EE94A91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見積書의 사본" sheetId="1" r:id="rId1"/>
  </sheets>
  <definedNames>
    <definedName name="_xlnm.Print_Area" localSheetId="0">'見積書의 사본'!$A$1:$J$51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5" i="1"/>
  <c r="J4" i="1"/>
</calcChain>
</file>

<file path=xl/sharedStrings.xml><?xml version="1.0" encoding="utf-8"?>
<sst xmlns="http://schemas.openxmlformats.org/spreadsheetml/2006/main" count="80" uniqueCount="71">
  <si>
    <t>見　積　書</t>
  </si>
  <si>
    <t>有限会社加豆フーズ</t>
  </si>
  <si>
    <t>No</t>
  </si>
  <si>
    <t>1</t>
  </si>
  <si>
    <t>〒379-2311　群馬県みどり市懸町阿左美1940</t>
  </si>
  <si>
    <t>見積日</t>
  </si>
  <si>
    <t>下記のとおり、御見積もり申し上げます。</t>
  </si>
  <si>
    <t>支払い条件</t>
  </si>
  <si>
    <t>先払い</t>
  </si>
  <si>
    <t>入稿期限</t>
  </si>
  <si>
    <t>指定なし</t>
  </si>
  <si>
    <t>校了締切</t>
  </si>
  <si>
    <t>金井貿易株式会社</t>
  </si>
  <si>
    <t>入金締切</t>
  </si>
  <si>
    <t>校了前</t>
  </si>
  <si>
    <t>〒673-0846</t>
  </si>
  <si>
    <t>納期</t>
  </si>
  <si>
    <t>校了から約１か月</t>
  </si>
  <si>
    <t>兵庫県明石市上ノ丸2-11-21-102</t>
  </si>
  <si>
    <t>振込先</t>
  </si>
  <si>
    <t>PayPay銀行 ビジネス営業部支店(005)普通 5630235</t>
  </si>
  <si>
    <t>TEL：080-6942-7235</t>
  </si>
  <si>
    <t>仕様</t>
  </si>
  <si>
    <t>番号</t>
  </si>
  <si>
    <t>商品数(SKU)</t>
  </si>
  <si>
    <t>合計数量</t>
  </si>
  <si>
    <t>単価</t>
  </si>
  <si>
    <t>割引</t>
  </si>
  <si>
    <t>合計(税別)</t>
  </si>
  <si>
    <t>仕様番号</t>
  </si>
  <si>
    <t>袋タイプ</t>
  </si>
  <si>
    <t>スタンドパウチ</t>
  </si>
  <si>
    <t>内容物</t>
  </si>
  <si>
    <t>粉体</t>
  </si>
  <si>
    <t>サイズ</t>
  </si>
  <si>
    <t>130*130*60</t>
  </si>
  <si>
    <t>素材</t>
  </si>
  <si>
    <t>PET12μ+AL7μ+PET12μ+LLDPE60μ</t>
  </si>
  <si>
    <t>シール幅</t>
  </si>
  <si>
    <t>5mm</t>
  </si>
  <si>
    <t>封入方向</t>
  </si>
  <si>
    <t>上</t>
  </si>
  <si>
    <t>ノッチ形状</t>
  </si>
  <si>
    <t>V</t>
  </si>
  <si>
    <t>ノッチ位置</t>
  </si>
  <si>
    <t>指定位置</t>
  </si>
  <si>
    <t>吊り下げ加工</t>
  </si>
  <si>
    <t>なし</t>
  </si>
  <si>
    <t>吊り下げ位置</t>
  </si>
  <si>
    <t>チャック位置</t>
  </si>
  <si>
    <t>角加工</t>
  </si>
  <si>
    <t>R5</t>
  </si>
  <si>
    <t>オプション加工</t>
  </si>
  <si>
    <t>加工内容</t>
  </si>
  <si>
    <t>有無</t>
  </si>
  <si>
    <t>チャック</t>
  </si>
  <si>
    <t>〇</t>
  </si>
  <si>
    <t>ノッチ</t>
  </si>
  <si>
    <t>吊り下げ穴</t>
  </si>
  <si>
    <t>-</t>
  </si>
  <si>
    <t>ガス抜きバルブ</t>
  </si>
  <si>
    <t>Easy Cut</t>
  </si>
  <si>
    <t>型抜き</t>
  </si>
  <si>
    <t>備考</t>
  </si>
  <si>
    <t>※本見積金額には郵送費を含んでおります。</t>
  </si>
  <si>
    <t>※お客様によるご確認の遅れ、その他やむを得ない事情により、納期が前後する場合がございます。</t>
  </si>
  <si>
    <t>※年末年始等の長期休暇期間を挟む場合、通常より納期が延びる可能性がございます。</t>
  </si>
  <si>
    <t>※天候不良、事故、交通事情等の影響により、やむを得ず納期が遅延する場合がございますので、あらかじめご了承ください。</t>
  </si>
  <si>
    <t>※製造工程上の都合により、実際の納品数量はご注文数量に対し最大10％程度の過不足が生じる場合がございます。
数量の完全保証はいたしかねますので、あらかじめご了承ください。</t>
    <phoneticPr fontId="2" type="noConversion"/>
  </si>
  <si>
    <t>※原材料価格の変動等により、見積有効期限経過後は価格が変更となる場合がございます。
再見積の際は、あらかじめご了承くださいますようお願いいたします。</t>
    <phoneticPr fontId="2" type="noConversion"/>
  </si>
  <si>
    <t>※不足分につきましては、実際に納品した数量に基づきご請求いたします。
前払いにてお支払いいただいた場合は、差額分を返金いたします。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</si>
</sst>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176" formatCode="yyyy\-mm\-dd"/>
    <numFmt numFmtId="177" formatCode="&quot;¥&quot;#,##0.0;[Red]&quot;¥&quot;\-#,##0.0"/>
    <numFmt numFmtId="178" formatCode="&quot;¥&quot;#,##0;[Red]&quot;¥&quot;\-#,##0"/>
    <numFmt numFmtId="179" formatCode="0.0"/>
    <numFmt numFmtId="180" formatCode="&quot;¥&quot;#,##0.00;[Red]&quot;¥&quot;\-#,##0.00"/>
  </numFmts>
  <fonts count="20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32"/>
      <color theme="1"/>
      <name val="BIZ UDGothic"/>
      <family val="2"/>
      <charset val="128"/>
    </font>
    <font>
      <sz val="10"/>
      <color rgb="FF000000"/>
      <name val="BIZ UDGothic"/>
      <family val="2"/>
      <charset val="128"/>
    </font>
    <font>
      <sz val="16"/>
      <color theme="1"/>
      <name val="BIZ UDGothic"/>
      <family val="2"/>
      <charset val="128"/>
    </font>
    <font>
      <sz val="11"/>
      <color theme="1"/>
      <name val="BIZ UDGothic"/>
      <family val="2"/>
      <charset val="128"/>
    </font>
    <font>
      <sz val="12"/>
      <color theme="1"/>
      <name val="BIZ UDGothic"/>
      <family val="2"/>
      <charset val="128"/>
    </font>
    <font>
      <sz val="10"/>
      <color theme="1"/>
      <name val="BIZ UDGothic"/>
      <family val="2"/>
      <charset val="128"/>
    </font>
    <font>
      <sz val="15"/>
      <color rgb="FFFFFFFF"/>
      <name val="BIZ UDGothic"/>
      <family val="2"/>
      <charset val="128"/>
    </font>
    <font>
      <sz val="15"/>
      <color theme="1"/>
      <name val="BIZ UDGothic"/>
      <family val="2"/>
      <charset val="128"/>
    </font>
    <font>
      <sz val="12"/>
      <color rgb="FF000000"/>
      <name val="BIZ UDGothic"/>
      <family val="2"/>
      <charset val="128"/>
    </font>
    <font>
      <sz val="14"/>
      <color rgb="FFFFFFFF"/>
      <name val="BIZ UDGothic"/>
      <family val="2"/>
      <charset val="128"/>
    </font>
    <font>
      <sz val="10"/>
      <name val="BIZ UDGothic"/>
      <family val="2"/>
      <charset val="128"/>
    </font>
    <font>
      <sz val="11"/>
      <name val="BIZ UDGothic"/>
      <family val="2"/>
      <charset val="128"/>
    </font>
    <font>
      <sz val="11"/>
      <color rgb="FF000000"/>
      <name val="BIZ UDGothic"/>
      <family val="2"/>
      <charset val="128"/>
    </font>
    <font>
      <sz val="14"/>
      <color theme="1"/>
      <name val="BIZ UDGothic"/>
      <family val="2"/>
      <charset val="128"/>
    </font>
    <font>
      <sz val="14"/>
      <color rgb="FF000000"/>
      <name val="BIZ UDGothic"/>
      <family val="2"/>
      <charset val="128"/>
    </font>
    <font>
      <sz val="12"/>
      <color rgb="FFFFFFFF"/>
      <name val="BIZ UDGothic"/>
      <family val="2"/>
      <charset val="128"/>
    </font>
    <font>
      <b/>
      <sz val="13"/>
      <color rgb="FF000000"/>
      <name val="BIZ UD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>
      <alignment vertical="center"/>
    </xf>
  </cellStyleXfs>
  <cellXfs count="55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76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top" wrapText="1"/>
    </xf>
    <xf numFmtId="0" fontId="8" fillId="0" borderId="0" xfId="0" applyFont="1"/>
    <xf numFmtId="0" fontId="7" fillId="0" borderId="0" xfId="0" applyFont="1"/>
    <xf numFmtId="0" fontId="9" fillId="2" borderId="0" xfId="0" applyFont="1" applyFill="1" applyAlignment="1">
      <alignment horizontal="center"/>
    </xf>
    <xf numFmtId="0" fontId="10" fillId="0" borderId="0" xfId="0" applyFont="1"/>
    <xf numFmtId="0" fontId="9" fillId="2" borderId="0" xfId="0" applyFont="1" applyFill="1" applyAlignment="1">
      <alignment horizontal="center" vertical="top"/>
    </xf>
    <xf numFmtId="0" fontId="11" fillId="0" borderId="0" xfId="0" applyFont="1"/>
    <xf numFmtId="0" fontId="12" fillId="2" borderId="1" xfId="0" applyFont="1" applyFill="1" applyBorder="1" applyAlignment="1">
      <alignment horizontal="center"/>
    </xf>
    <xf numFmtId="0" fontId="13" fillId="0" borderId="2" xfId="0" applyFont="1" applyBorder="1"/>
    <xf numFmtId="0" fontId="13" fillId="0" borderId="3" xfId="0" applyFont="1" applyBorder="1"/>
    <xf numFmtId="0" fontId="12" fillId="0" borderId="0" xfId="0" applyFont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3" xfId="0" applyFont="1" applyBorder="1"/>
    <xf numFmtId="0" fontId="6" fillId="0" borderId="0" xfId="0" applyFont="1" applyAlignment="1">
      <alignment horizontal="center"/>
    </xf>
    <xf numFmtId="38" fontId="6" fillId="0" borderId="4" xfId="0" applyNumberFormat="1" applyFont="1" applyBorder="1" applyAlignment="1">
      <alignment horizontal="center"/>
    </xf>
    <xf numFmtId="177" fontId="6" fillId="0" borderId="4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/>
    </xf>
    <xf numFmtId="178" fontId="6" fillId="0" borderId="4" xfId="0" applyNumberFormat="1" applyFont="1" applyBorder="1" applyAlignment="1">
      <alignment horizontal="center" vertical="center"/>
    </xf>
    <xf numFmtId="179" fontId="6" fillId="0" borderId="4" xfId="0" applyNumberFormat="1" applyFont="1" applyBorder="1" applyAlignment="1">
      <alignment horizontal="center" vertical="center"/>
    </xf>
    <xf numFmtId="180" fontId="6" fillId="0" borderId="4" xfId="0" applyNumberFormat="1" applyFont="1" applyBorder="1" applyAlignment="1">
      <alignment horizontal="center" vertical="center"/>
    </xf>
    <xf numFmtId="179" fontId="6" fillId="0" borderId="4" xfId="0" applyNumberFormat="1" applyFont="1" applyBorder="1" applyAlignment="1">
      <alignment horizontal="center"/>
    </xf>
    <xf numFmtId="177" fontId="15" fillId="0" borderId="4" xfId="0" applyNumberFormat="1" applyFon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38" fontId="16" fillId="0" borderId="4" xfId="0" applyNumberFormat="1" applyFont="1" applyBorder="1" applyAlignment="1">
      <alignment horizontal="center"/>
    </xf>
    <xf numFmtId="179" fontId="16" fillId="0" borderId="4" xfId="0" applyNumberFormat="1" applyFont="1" applyBorder="1" applyAlignment="1">
      <alignment horizontal="center"/>
    </xf>
    <xf numFmtId="177" fontId="17" fillId="0" borderId="4" xfId="0" applyNumberFormat="1" applyFont="1" applyBorder="1" applyAlignment="1">
      <alignment horizontal="center"/>
    </xf>
    <xf numFmtId="178" fontId="16" fillId="0" borderId="4" xfId="0" applyNumberFormat="1" applyFont="1" applyBorder="1" applyAlignment="1">
      <alignment horizontal="center" vertical="center"/>
    </xf>
    <xf numFmtId="38" fontId="16" fillId="0" borderId="0" xfId="0" applyNumberFormat="1" applyFont="1" applyAlignment="1">
      <alignment horizontal="center"/>
    </xf>
    <xf numFmtId="177" fontId="17" fillId="0" borderId="0" xfId="0" applyNumberFormat="1" applyFont="1" applyAlignment="1">
      <alignment horizontal="center"/>
    </xf>
    <xf numFmtId="178" fontId="16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6" fillId="0" borderId="0" xfId="0" applyFont="1" applyAlignment="1">
      <alignment horizontal="left" wrapText="1" shrinkToFit="1"/>
    </xf>
    <xf numFmtId="0" fontId="4" fillId="0" borderId="5" xfId="0" applyFont="1" applyBorder="1" applyAlignment="1">
      <alignment horizontal="left" shrinkToFit="1"/>
    </xf>
    <xf numFmtId="42" fontId="6" fillId="0" borderId="0" xfId="1" applyFont="1" applyAlignment="1">
      <alignment horizontal="left" wrapText="1" shrinkToFit="1"/>
    </xf>
    <xf numFmtId="42" fontId="6" fillId="0" borderId="0" xfId="1" applyFont="1" applyAlignment="1">
      <alignment horizontal="left" shrinkToFit="1"/>
    </xf>
    <xf numFmtId="0" fontId="6" fillId="0" borderId="0" xfId="0" applyFont="1" applyAlignment="1">
      <alignment horizontal="left" shrinkToFit="1"/>
    </xf>
    <xf numFmtId="0" fontId="19" fillId="0" borderId="0" xfId="0" applyFont="1" applyAlignment="1">
      <alignment horizontal="left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488706</xdr:colOff>
      <xdr:row>4</xdr:row>
      <xdr:rowOff>132618</xdr:rowOff>
    </xdr:from>
    <xdr:ext cx="2590800" cy="476250"/>
    <xdr:pic>
      <xdr:nvPicPr>
        <xdr:cNvPr id="2" name="image2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46860" y="1392849"/>
          <a:ext cx="25908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488701</xdr:colOff>
      <xdr:row>7</xdr:row>
      <xdr:rowOff>38833</xdr:rowOff>
    </xdr:from>
    <xdr:ext cx="2590800" cy="190500"/>
    <xdr:pic>
      <xdr:nvPicPr>
        <xdr:cNvPr id="3" name="image1.png" title="이미지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46855" y="1760660"/>
          <a:ext cx="2590800" cy="190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  <pageSetUpPr fitToPage="1"/>
  </sheetPr>
  <dimension ref="A1:J52"/>
  <sheetViews>
    <sheetView tabSelected="1" view="pageBreakPreview" zoomScale="130" zoomScaleNormal="100" zoomScaleSheetLayoutView="130" workbookViewId="0">
      <selection activeCell="E10" sqref="E10"/>
    </sheetView>
  </sheetViews>
  <sheetFormatPr defaultColWidth="12.5703125" defaultRowHeight="15.75" customHeight="1" x14ac:dyDescent="0.15"/>
  <cols>
    <col min="1" max="1" width="17" style="3" customWidth="1"/>
    <col min="2" max="2" width="11.140625" style="3" customWidth="1"/>
    <col min="3" max="3" width="20.5703125" style="3" customWidth="1"/>
    <col min="4" max="4" width="4" style="3" customWidth="1"/>
    <col min="5" max="5" width="9.140625" style="3" customWidth="1"/>
    <col min="6" max="6" width="15.5703125" style="3" customWidth="1"/>
    <col min="7" max="7" width="12.7109375" style="3" customWidth="1"/>
    <col min="8" max="8" width="7.85546875" style="3" customWidth="1"/>
    <col min="9" max="9" width="11.28515625" style="3" customWidth="1"/>
    <col min="10" max="10" width="15.7109375" style="3" customWidth="1"/>
    <col min="11" max="16384" width="12.5703125" style="3"/>
  </cols>
  <sheetData>
    <row r="1" spans="1:10" ht="36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8.75" x14ac:dyDescent="0.2">
      <c r="A2" s="4"/>
      <c r="B2" s="4"/>
      <c r="C2" s="4"/>
      <c r="D2" s="4"/>
      <c r="E2" s="4"/>
      <c r="F2" s="4"/>
      <c r="G2" s="5"/>
      <c r="H2" s="5"/>
    </row>
    <row r="3" spans="1:10" ht="18.75" x14ac:dyDescent="0.2">
      <c r="A3" s="6" t="s">
        <v>1</v>
      </c>
      <c r="B3" s="2"/>
      <c r="C3" s="2"/>
      <c r="D3" s="2"/>
      <c r="E3" s="2"/>
      <c r="F3" s="2"/>
      <c r="G3" s="5"/>
      <c r="H3" s="5"/>
      <c r="I3" s="7" t="s">
        <v>2</v>
      </c>
      <c r="J3" s="8" t="s">
        <v>3</v>
      </c>
    </row>
    <row r="4" spans="1:10" ht="14.25" x14ac:dyDescent="0.15">
      <c r="A4" s="9" t="s">
        <v>4</v>
      </c>
      <c r="B4" s="2"/>
      <c r="C4" s="2"/>
      <c r="D4" s="2"/>
      <c r="E4" s="2"/>
      <c r="F4" s="2"/>
      <c r="G4" s="5"/>
      <c r="H4" s="5"/>
      <c r="I4" s="10" t="s">
        <v>5</v>
      </c>
      <c r="J4" s="11">
        <f ca="1">TODAY()</f>
        <v>46022</v>
      </c>
    </row>
    <row r="5" spans="1:10" ht="14.25" x14ac:dyDescent="0.15">
      <c r="A5" s="12"/>
      <c r="B5" s="2"/>
      <c r="C5" s="2"/>
      <c r="D5" s="5"/>
      <c r="E5" s="5"/>
      <c r="F5" s="5"/>
      <c r="G5" s="5"/>
      <c r="H5" s="5"/>
      <c r="I5" s="13"/>
      <c r="J5" s="13"/>
    </row>
    <row r="6" spans="1:10" ht="14.25" x14ac:dyDescent="0.15">
      <c r="A6" s="14" t="s">
        <v>6</v>
      </c>
      <c r="B6" s="5"/>
      <c r="C6" s="13"/>
      <c r="D6" s="13"/>
      <c r="E6" s="13"/>
      <c r="F6" s="13"/>
      <c r="G6" s="5"/>
      <c r="H6" s="5"/>
      <c r="I6" s="5"/>
      <c r="J6" s="5"/>
    </row>
    <row r="7" spans="1:10" ht="17.25" x14ac:dyDescent="0.15">
      <c r="A7" s="15" t="s">
        <v>7</v>
      </c>
      <c r="B7" s="16" t="s">
        <v>8</v>
      </c>
      <c r="C7" s="16"/>
      <c r="D7" s="16"/>
      <c r="E7" s="16"/>
      <c r="F7" s="16"/>
      <c r="H7" s="5"/>
      <c r="I7" s="13"/>
      <c r="J7" s="5"/>
    </row>
    <row r="8" spans="1:10" ht="17.25" x14ac:dyDescent="0.15">
      <c r="A8" s="15" t="s">
        <v>9</v>
      </c>
      <c r="B8" s="16" t="s">
        <v>10</v>
      </c>
      <c r="C8" s="16"/>
      <c r="D8" s="16"/>
      <c r="E8" s="16"/>
      <c r="F8" s="16"/>
      <c r="I8" s="13"/>
      <c r="J8" s="5"/>
    </row>
    <row r="9" spans="1:10" ht="17.25" x14ac:dyDescent="0.15">
      <c r="A9" s="15" t="s">
        <v>11</v>
      </c>
      <c r="B9" s="16" t="s">
        <v>10</v>
      </c>
      <c r="C9" s="16"/>
      <c r="D9" s="16"/>
      <c r="E9" s="16"/>
      <c r="F9" s="16"/>
      <c r="H9" s="14" t="s">
        <v>12</v>
      </c>
      <c r="I9" s="14"/>
      <c r="J9" s="14"/>
    </row>
    <row r="10" spans="1:10" ht="17.25" x14ac:dyDescent="0.15">
      <c r="A10" s="15" t="s">
        <v>13</v>
      </c>
      <c r="B10" s="16" t="s">
        <v>14</v>
      </c>
      <c r="C10" s="16"/>
      <c r="D10" s="16"/>
      <c r="E10" s="16"/>
      <c r="F10" s="16"/>
      <c r="H10" s="14" t="s">
        <v>15</v>
      </c>
      <c r="I10" s="14"/>
      <c r="J10" s="14"/>
    </row>
    <row r="11" spans="1:10" ht="17.25" x14ac:dyDescent="0.15">
      <c r="A11" s="15" t="s">
        <v>16</v>
      </c>
      <c r="B11" s="16" t="s">
        <v>17</v>
      </c>
      <c r="C11" s="16"/>
      <c r="D11" s="16"/>
      <c r="E11" s="16"/>
      <c r="F11" s="16"/>
      <c r="H11" s="14" t="s">
        <v>18</v>
      </c>
      <c r="I11" s="14"/>
      <c r="J11" s="14"/>
    </row>
    <row r="12" spans="1:10" ht="17.25" x14ac:dyDescent="0.15">
      <c r="A12" s="17" t="s">
        <v>19</v>
      </c>
      <c r="B12" s="18" t="s">
        <v>20</v>
      </c>
      <c r="C12" s="18"/>
      <c r="D12" s="18"/>
      <c r="E12" s="18"/>
      <c r="F12" s="18"/>
      <c r="G12" s="5"/>
      <c r="H12" s="14" t="s">
        <v>21</v>
      </c>
      <c r="I12" s="14"/>
      <c r="J12" s="14"/>
    </row>
    <row r="13" spans="1:10" ht="13.5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ht="16.5" x14ac:dyDescent="0.15">
      <c r="A14" s="19" t="s">
        <v>22</v>
      </c>
      <c r="B14" s="20"/>
      <c r="C14" s="21"/>
      <c r="D14" s="22"/>
      <c r="E14" s="23" t="s">
        <v>23</v>
      </c>
      <c r="F14" s="23" t="s">
        <v>24</v>
      </c>
      <c r="G14" s="23" t="s">
        <v>25</v>
      </c>
      <c r="H14" s="23" t="s">
        <v>26</v>
      </c>
      <c r="I14" s="23" t="s">
        <v>27</v>
      </c>
      <c r="J14" s="23" t="s">
        <v>28</v>
      </c>
    </row>
    <row r="15" spans="1:10" ht="15.75" customHeight="1" x14ac:dyDescent="0.15">
      <c r="A15" s="24" t="s">
        <v>29</v>
      </c>
      <c r="B15" s="25">
        <v>1</v>
      </c>
      <c r="C15" s="26"/>
      <c r="D15" s="27"/>
      <c r="E15" s="24">
        <v>1</v>
      </c>
      <c r="F15" s="24">
        <v>1</v>
      </c>
      <c r="G15" s="28">
        <v>5000</v>
      </c>
      <c r="H15" s="29">
        <v>73.900000000000006</v>
      </c>
      <c r="I15" s="30">
        <v>0</v>
      </c>
      <c r="J15" s="31">
        <f t="shared" ref="J15:J16" si="0">G15*H15</f>
        <v>369500</v>
      </c>
    </row>
    <row r="16" spans="1:10" ht="15.75" customHeight="1" x14ac:dyDescent="0.15">
      <c r="A16" s="24" t="s">
        <v>30</v>
      </c>
      <c r="B16" s="25" t="s">
        <v>31</v>
      </c>
      <c r="C16" s="26"/>
      <c r="D16" s="27"/>
      <c r="E16" s="24">
        <v>2</v>
      </c>
      <c r="F16" s="24">
        <v>1</v>
      </c>
      <c r="G16" s="28">
        <v>10000</v>
      </c>
      <c r="H16" s="29">
        <v>53.6</v>
      </c>
      <c r="I16" s="31">
        <v>0</v>
      </c>
      <c r="J16" s="31">
        <f t="shared" si="0"/>
        <v>536000</v>
      </c>
    </row>
    <row r="17" spans="1:10" ht="15.75" customHeight="1" x14ac:dyDescent="0.15">
      <c r="A17" s="24" t="s">
        <v>32</v>
      </c>
      <c r="B17" s="25" t="s">
        <v>33</v>
      </c>
      <c r="C17" s="26"/>
      <c r="D17" s="27"/>
      <c r="E17" s="24"/>
      <c r="F17" s="24"/>
      <c r="G17" s="28"/>
      <c r="H17" s="32"/>
      <c r="I17" s="33"/>
      <c r="J17" s="31"/>
    </row>
    <row r="18" spans="1:10" ht="15.75" customHeight="1" x14ac:dyDescent="0.15">
      <c r="A18" s="24" t="s">
        <v>34</v>
      </c>
      <c r="B18" s="25" t="s">
        <v>35</v>
      </c>
      <c r="C18" s="26"/>
      <c r="D18" s="27"/>
      <c r="E18" s="24"/>
      <c r="F18" s="24"/>
      <c r="G18" s="28"/>
      <c r="H18" s="32"/>
      <c r="I18" s="33"/>
      <c r="J18" s="31"/>
    </row>
    <row r="19" spans="1:10" ht="15.75" customHeight="1" x14ac:dyDescent="0.15">
      <c r="A19" s="24" t="s">
        <v>36</v>
      </c>
      <c r="B19" s="25" t="s">
        <v>37</v>
      </c>
      <c r="C19" s="26"/>
      <c r="D19" s="27"/>
      <c r="E19" s="24"/>
      <c r="F19" s="24"/>
      <c r="G19" s="28"/>
      <c r="H19" s="32"/>
      <c r="I19" s="33"/>
      <c r="J19" s="31"/>
    </row>
    <row r="20" spans="1:10" ht="15.75" customHeight="1" x14ac:dyDescent="0.15">
      <c r="A20" s="24" t="s">
        <v>38</v>
      </c>
      <c r="B20" s="25" t="s">
        <v>39</v>
      </c>
      <c r="C20" s="26"/>
      <c r="D20" s="27"/>
      <c r="E20" s="24"/>
      <c r="F20" s="24"/>
      <c r="G20" s="28"/>
      <c r="H20" s="32"/>
      <c r="I20" s="33"/>
      <c r="J20" s="31"/>
    </row>
    <row r="21" spans="1:10" ht="15.75" customHeight="1" x14ac:dyDescent="0.15">
      <c r="A21" s="24" t="s">
        <v>40</v>
      </c>
      <c r="B21" s="25" t="s">
        <v>41</v>
      </c>
      <c r="C21" s="26"/>
      <c r="D21" s="27"/>
      <c r="E21" s="24"/>
      <c r="F21" s="24"/>
      <c r="G21" s="28"/>
      <c r="H21" s="34"/>
      <c r="I21" s="35"/>
      <c r="J21" s="31"/>
    </row>
    <row r="22" spans="1:10" ht="15.75" customHeight="1" x14ac:dyDescent="0.15">
      <c r="A22" s="24" t="s">
        <v>42</v>
      </c>
      <c r="B22" s="25" t="s">
        <v>43</v>
      </c>
      <c r="C22" s="26"/>
      <c r="D22" s="27"/>
      <c r="E22" s="24"/>
      <c r="F22" s="24"/>
      <c r="G22" s="28"/>
      <c r="H22" s="34"/>
      <c r="I22" s="35"/>
      <c r="J22" s="31"/>
    </row>
    <row r="23" spans="1:10" ht="15.75" customHeight="1" x14ac:dyDescent="0.15">
      <c r="A23" s="24" t="s">
        <v>44</v>
      </c>
      <c r="B23" s="25" t="s">
        <v>45</v>
      </c>
      <c r="C23" s="26"/>
      <c r="D23" s="27"/>
      <c r="E23" s="24"/>
      <c r="F23" s="24"/>
      <c r="G23" s="28"/>
      <c r="H23" s="34"/>
      <c r="I23" s="35"/>
      <c r="J23" s="31"/>
    </row>
    <row r="24" spans="1:10" ht="15.75" customHeight="1" x14ac:dyDescent="0.15">
      <c r="A24" s="24" t="s">
        <v>46</v>
      </c>
      <c r="B24" s="25" t="s">
        <v>47</v>
      </c>
      <c r="C24" s="26"/>
      <c r="D24" s="27"/>
      <c r="E24" s="24"/>
      <c r="F24" s="24"/>
      <c r="G24" s="28"/>
      <c r="H24" s="34"/>
      <c r="I24" s="35"/>
      <c r="J24" s="31"/>
    </row>
    <row r="25" spans="1:10" ht="15.75" customHeight="1" x14ac:dyDescent="0.15">
      <c r="A25" s="24" t="s">
        <v>48</v>
      </c>
      <c r="B25" s="25" t="s">
        <v>45</v>
      </c>
      <c r="C25" s="26"/>
      <c r="D25" s="27"/>
      <c r="E25" s="24"/>
      <c r="F25" s="24"/>
      <c r="G25" s="28"/>
      <c r="H25" s="34"/>
      <c r="I25" s="35"/>
      <c r="J25" s="31"/>
    </row>
    <row r="26" spans="1:10" ht="15.75" customHeight="1" x14ac:dyDescent="0.15">
      <c r="A26" s="24" t="s">
        <v>49</v>
      </c>
      <c r="B26" s="25" t="s">
        <v>45</v>
      </c>
      <c r="C26" s="26"/>
      <c r="D26" s="27"/>
      <c r="E26" s="24"/>
      <c r="F26" s="24"/>
      <c r="G26" s="28"/>
      <c r="H26" s="34"/>
      <c r="I26" s="35"/>
      <c r="J26" s="31"/>
    </row>
    <row r="27" spans="1:10" ht="15.75" customHeight="1" x14ac:dyDescent="0.15">
      <c r="A27" s="24" t="s">
        <v>50</v>
      </c>
      <c r="B27" s="25" t="s">
        <v>51</v>
      </c>
      <c r="C27" s="26"/>
      <c r="D27" s="27"/>
      <c r="E27" s="24"/>
      <c r="F27" s="24"/>
      <c r="G27" s="28"/>
      <c r="H27" s="34"/>
      <c r="I27" s="35"/>
      <c r="J27" s="31"/>
    </row>
    <row r="28" spans="1:10" ht="15.75" customHeight="1" x14ac:dyDescent="0.15">
      <c r="A28" s="36"/>
      <c r="B28" s="37"/>
      <c r="C28" s="2"/>
      <c r="D28" s="38"/>
      <c r="E28" s="39"/>
      <c r="F28" s="39"/>
      <c r="G28" s="40"/>
      <c r="H28" s="41"/>
      <c r="I28" s="42"/>
      <c r="J28" s="43"/>
    </row>
    <row r="29" spans="1:10" ht="15.75" customHeight="1" x14ac:dyDescent="0.15">
      <c r="A29" s="36"/>
      <c r="B29" s="36"/>
      <c r="C29" s="36"/>
      <c r="D29" s="38"/>
      <c r="E29" s="38"/>
      <c r="F29" s="38"/>
      <c r="G29" s="44"/>
      <c r="H29" s="38"/>
      <c r="I29" s="45"/>
      <c r="J29" s="46"/>
    </row>
    <row r="30" spans="1:10" ht="15.75" customHeight="1" x14ac:dyDescent="0.15">
      <c r="A30" s="36"/>
      <c r="B30" s="36"/>
      <c r="C30" s="36"/>
      <c r="D30" s="38"/>
      <c r="E30" s="38"/>
      <c r="F30" s="38"/>
      <c r="G30" s="44"/>
      <c r="H30" s="38"/>
      <c r="I30" s="45"/>
      <c r="J30" s="46"/>
    </row>
    <row r="31" spans="1:10" ht="15.75" customHeight="1" x14ac:dyDescent="0.15">
      <c r="A31" s="36"/>
      <c r="B31" s="36"/>
      <c r="C31" s="36"/>
      <c r="D31" s="38"/>
      <c r="E31" s="38"/>
      <c r="F31" s="38"/>
      <c r="G31" s="44"/>
      <c r="H31" s="38"/>
      <c r="I31" s="45"/>
      <c r="J31" s="46"/>
    </row>
    <row r="32" spans="1:10" ht="16.5" x14ac:dyDescent="0.15">
      <c r="A32" s="19" t="s">
        <v>52</v>
      </c>
      <c r="B32" s="20"/>
      <c r="C32" s="21"/>
      <c r="D32" s="38"/>
      <c r="E32" s="38"/>
      <c r="F32" s="38"/>
      <c r="G32" s="44"/>
      <c r="H32" s="38"/>
      <c r="I32" s="47"/>
      <c r="J32" s="46"/>
    </row>
    <row r="33" spans="1:10" ht="15.75" customHeight="1" x14ac:dyDescent="0.15">
      <c r="A33" s="25" t="s">
        <v>53</v>
      </c>
      <c r="B33" s="26"/>
      <c r="C33" s="24" t="s">
        <v>54</v>
      </c>
      <c r="D33" s="38"/>
      <c r="E33" s="38"/>
      <c r="F33" s="38"/>
      <c r="G33" s="44"/>
      <c r="H33" s="38"/>
      <c r="I33" s="47"/>
      <c r="J33" s="46"/>
    </row>
    <row r="34" spans="1:10" ht="15.75" customHeight="1" x14ac:dyDescent="0.15">
      <c r="A34" s="25" t="s">
        <v>55</v>
      </c>
      <c r="B34" s="26"/>
      <c r="C34" s="24" t="s">
        <v>56</v>
      </c>
      <c r="D34" s="38"/>
      <c r="E34" s="38"/>
      <c r="F34" s="38"/>
      <c r="G34" s="44"/>
      <c r="H34" s="38"/>
      <c r="I34" s="47"/>
      <c r="J34" s="46"/>
    </row>
    <row r="35" spans="1:10" ht="15.75" customHeight="1" x14ac:dyDescent="0.15">
      <c r="A35" s="25" t="s">
        <v>57</v>
      </c>
      <c r="B35" s="26"/>
      <c r="C35" s="24" t="s">
        <v>56</v>
      </c>
      <c r="D35" s="38"/>
      <c r="E35" s="38"/>
      <c r="F35" s="38"/>
      <c r="G35" s="44"/>
      <c r="H35" s="38"/>
      <c r="I35" s="47"/>
      <c r="J35" s="46"/>
    </row>
    <row r="36" spans="1:10" ht="15.75" customHeight="1" x14ac:dyDescent="0.15">
      <c r="A36" s="25" t="s">
        <v>58</v>
      </c>
      <c r="B36" s="26"/>
      <c r="C36" s="24" t="s">
        <v>59</v>
      </c>
      <c r="D36" s="38"/>
      <c r="E36" s="38"/>
      <c r="F36" s="38"/>
      <c r="G36" s="44"/>
      <c r="H36" s="38"/>
      <c r="I36" s="47"/>
      <c r="J36" s="46"/>
    </row>
    <row r="37" spans="1:10" ht="15.75" customHeight="1" x14ac:dyDescent="0.15">
      <c r="A37" s="25" t="s">
        <v>50</v>
      </c>
      <c r="B37" s="26"/>
      <c r="C37" s="24" t="s">
        <v>56</v>
      </c>
      <c r="D37" s="38"/>
      <c r="E37" s="38"/>
      <c r="F37" s="38"/>
      <c r="G37" s="44"/>
      <c r="H37" s="38"/>
      <c r="I37" s="47"/>
      <c r="J37" s="46"/>
    </row>
    <row r="38" spans="1:10" ht="15.75" customHeight="1" x14ac:dyDescent="0.15">
      <c r="A38" s="25" t="s">
        <v>60</v>
      </c>
      <c r="B38" s="26"/>
      <c r="C38" s="24" t="s">
        <v>59</v>
      </c>
      <c r="D38" s="38"/>
      <c r="E38" s="38"/>
      <c r="F38" s="38"/>
      <c r="G38" s="44"/>
      <c r="H38" s="38"/>
      <c r="I38" s="47"/>
      <c r="J38" s="46"/>
    </row>
    <row r="39" spans="1:10" ht="15.75" customHeight="1" x14ac:dyDescent="0.15">
      <c r="A39" s="25" t="s">
        <v>61</v>
      </c>
      <c r="B39" s="26"/>
      <c r="C39" s="24" t="s">
        <v>59</v>
      </c>
      <c r="D39" s="38"/>
      <c r="E39" s="38"/>
      <c r="F39" s="38"/>
      <c r="G39" s="44"/>
      <c r="H39" s="38"/>
      <c r="I39" s="47"/>
      <c r="J39" s="46"/>
    </row>
    <row r="40" spans="1:10" ht="15.75" customHeight="1" x14ac:dyDescent="0.15">
      <c r="A40" s="25" t="s">
        <v>62</v>
      </c>
      <c r="B40" s="26"/>
      <c r="C40" s="24" t="s">
        <v>59</v>
      </c>
      <c r="D40" s="38"/>
      <c r="E40" s="38"/>
      <c r="F40" s="38"/>
      <c r="G40" s="44"/>
      <c r="H40" s="38"/>
      <c r="I40" s="47"/>
      <c r="J40" s="46"/>
    </row>
    <row r="41" spans="1:10" ht="15.75" customHeight="1" x14ac:dyDescent="0.15">
      <c r="A41" s="38"/>
      <c r="B41" s="38"/>
      <c r="C41" s="38"/>
      <c r="D41" s="38"/>
      <c r="E41" s="38"/>
      <c r="F41" s="38"/>
      <c r="G41" s="44"/>
      <c r="H41" s="38"/>
      <c r="I41" s="47"/>
      <c r="J41" s="46"/>
    </row>
    <row r="42" spans="1:10" ht="15.75" customHeight="1" x14ac:dyDescent="0.15">
      <c r="A42" s="38"/>
      <c r="B42" s="38"/>
      <c r="C42" s="38"/>
      <c r="D42" s="38"/>
      <c r="E42" s="38"/>
      <c r="F42" s="38"/>
      <c r="G42" s="44"/>
      <c r="H42" s="38"/>
      <c r="I42" s="47"/>
      <c r="J42" s="46"/>
    </row>
    <row r="43" spans="1:10" ht="15.75" customHeight="1" x14ac:dyDescent="0.15">
      <c r="A43" s="38"/>
      <c r="B43" s="38"/>
      <c r="C43" s="38"/>
      <c r="D43" s="38"/>
      <c r="E43" s="38"/>
      <c r="F43" s="38"/>
      <c r="G43" s="44"/>
      <c r="H43" s="38"/>
      <c r="I43" s="47"/>
      <c r="J43" s="46"/>
    </row>
    <row r="44" spans="1:10" ht="15.75" customHeight="1" x14ac:dyDescent="0.15">
      <c r="A44" s="48" t="s">
        <v>63</v>
      </c>
      <c r="B44" s="20"/>
      <c r="C44" s="20"/>
      <c r="D44" s="20"/>
      <c r="E44" s="20"/>
      <c r="F44" s="20"/>
      <c r="G44" s="20"/>
      <c r="H44" s="20"/>
      <c r="I44" s="20"/>
      <c r="J44" s="21"/>
    </row>
    <row r="45" spans="1:10" ht="27.75" customHeight="1" x14ac:dyDescent="0.15">
      <c r="A45" s="49" t="s">
        <v>68</v>
      </c>
      <c r="B45" s="50"/>
      <c r="C45" s="50"/>
      <c r="D45" s="50"/>
      <c r="E45" s="50"/>
      <c r="F45" s="50"/>
      <c r="G45" s="50"/>
      <c r="H45" s="50"/>
      <c r="I45" s="50"/>
      <c r="J45" s="50"/>
    </row>
    <row r="46" spans="1:10" ht="26.25" customHeight="1" x14ac:dyDescent="0.15">
      <c r="A46" s="51" t="s">
        <v>70</v>
      </c>
      <c r="B46" s="52"/>
      <c r="C46" s="52"/>
      <c r="D46" s="52"/>
      <c r="E46" s="52"/>
      <c r="F46" s="52"/>
      <c r="G46" s="52"/>
      <c r="H46" s="52"/>
      <c r="I46" s="52"/>
      <c r="J46" s="52"/>
    </row>
    <row r="47" spans="1:10" ht="29.25" customHeight="1" x14ac:dyDescent="0.15">
      <c r="A47" s="49" t="s">
        <v>69</v>
      </c>
      <c r="B47" s="53"/>
      <c r="C47" s="53"/>
      <c r="D47" s="53"/>
      <c r="E47" s="53"/>
      <c r="F47" s="53"/>
      <c r="G47" s="53"/>
      <c r="H47" s="53"/>
      <c r="I47" s="53"/>
      <c r="J47" s="53"/>
    </row>
    <row r="48" spans="1:10" ht="13.5" x14ac:dyDescent="0.15">
      <c r="A48" s="53" t="s">
        <v>64</v>
      </c>
      <c r="B48" s="53"/>
      <c r="C48" s="53"/>
      <c r="D48" s="53"/>
      <c r="E48" s="53"/>
      <c r="F48" s="53"/>
      <c r="G48" s="53"/>
      <c r="H48" s="53"/>
      <c r="I48" s="53"/>
      <c r="J48" s="53"/>
    </row>
    <row r="49" spans="1:10" ht="13.5" x14ac:dyDescent="0.15">
      <c r="A49" s="53" t="s">
        <v>65</v>
      </c>
      <c r="B49" s="53"/>
      <c r="C49" s="53"/>
      <c r="D49" s="53"/>
      <c r="E49" s="53"/>
      <c r="F49" s="53"/>
      <c r="G49" s="53"/>
      <c r="H49" s="53"/>
      <c r="I49" s="53"/>
      <c r="J49" s="53"/>
    </row>
    <row r="50" spans="1:10" ht="13.5" x14ac:dyDescent="0.15">
      <c r="A50" s="53" t="s">
        <v>66</v>
      </c>
      <c r="B50" s="53"/>
      <c r="C50" s="53"/>
      <c r="D50" s="53"/>
      <c r="E50" s="53"/>
      <c r="F50" s="53"/>
      <c r="G50" s="53"/>
      <c r="H50" s="53"/>
      <c r="I50" s="53"/>
      <c r="J50" s="53"/>
    </row>
    <row r="51" spans="1:10" ht="13.5" x14ac:dyDescent="0.15">
      <c r="A51" s="53" t="s">
        <v>67</v>
      </c>
      <c r="B51" s="53"/>
      <c r="C51" s="53"/>
      <c r="D51" s="53"/>
      <c r="E51" s="53"/>
      <c r="F51" s="53"/>
      <c r="G51" s="53"/>
      <c r="H51" s="53"/>
      <c r="I51" s="53"/>
      <c r="J51" s="53"/>
    </row>
    <row r="52" spans="1:10" ht="15" x14ac:dyDescent="0.15">
      <c r="A52" s="54"/>
      <c r="B52" s="54"/>
      <c r="C52" s="54"/>
      <c r="D52" s="54"/>
      <c r="E52" s="54"/>
      <c r="F52" s="54"/>
      <c r="G52" s="54"/>
      <c r="H52" s="54"/>
      <c r="I52" s="54"/>
      <c r="J52" s="54"/>
    </row>
  </sheetData>
  <mergeCells count="37">
    <mergeCell ref="A51:J51"/>
    <mergeCell ref="A46:J46"/>
    <mergeCell ref="A47:J47"/>
    <mergeCell ref="A48:J48"/>
    <mergeCell ref="A49:J49"/>
    <mergeCell ref="A50:J50"/>
    <mergeCell ref="A32:C32"/>
    <mergeCell ref="A40:B40"/>
    <mergeCell ref="A44:J44"/>
    <mergeCell ref="A45:J45"/>
    <mergeCell ref="A33:B33"/>
    <mergeCell ref="A34:B34"/>
    <mergeCell ref="A35:B35"/>
    <mergeCell ref="A36:B36"/>
    <mergeCell ref="A37:B37"/>
    <mergeCell ref="A38:B38"/>
    <mergeCell ref="A39:B39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A14:C14"/>
    <mergeCell ref="B15:C15"/>
    <mergeCell ref="B16:C16"/>
    <mergeCell ref="B17:C17"/>
    <mergeCell ref="B18:C18"/>
    <mergeCell ref="A1:J1"/>
    <mergeCell ref="A3:F3"/>
    <mergeCell ref="A4:F4"/>
    <mergeCell ref="A5:C5"/>
    <mergeCell ref="B12:F12"/>
  </mergeCells>
  <phoneticPr fontId="2" type="noConversion"/>
  <printOptions horizontalCentered="1"/>
  <pageMargins left="0.25" right="0.25" top="0.75" bottom="0.75" header="0" footer="0"/>
  <pageSetup paperSize="9" scale="80" pageOrder="overThenDown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見積書의 사본</vt:lpstr>
      <vt:lpstr>'見積書의 사본'!Print_Area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kanei</cp:lastModifiedBy>
  <cp:lastPrinted>2025-12-30T15:40:14Z</cp:lastPrinted>
  <dcterms:modified xsi:type="dcterms:W3CDTF">2025-12-30T15:40:25Z</dcterms:modified>
</cp:coreProperties>
</file>